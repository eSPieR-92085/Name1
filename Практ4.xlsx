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дмин\Documents\ForGitHub\"/>
    </mc:Choice>
  </mc:AlternateContent>
  <xr:revisionPtr revIDLastSave="0" documentId="8_{C9CEBE28-61A5-4F3A-AEA9-A5C05F7FC8C0}" xr6:coauthVersionLast="47" xr6:coauthVersionMax="47" xr10:uidLastSave="{00000000-0000-0000-0000-000000000000}"/>
  <bookViews>
    <workbookView xWindow="-96" yWindow="0" windowWidth="13584" windowHeight="13776" activeTab="1" xr2:uid="{CA179B50-0630-4182-A3E0-A5B5F21E82D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H7" i="2"/>
  <c r="H3" i="2"/>
  <c r="H4" i="2"/>
  <c r="H5" i="2"/>
  <c r="H2" i="2"/>
  <c r="F2" i="2"/>
  <c r="F4" i="2"/>
  <c r="F3" i="2"/>
  <c r="F5" i="2"/>
  <c r="E3" i="2"/>
  <c r="E4" i="2"/>
  <c r="E5" i="2"/>
  <c r="E2" i="2"/>
  <c r="B11" i="1"/>
  <c r="B10" i="1"/>
  <c r="B9" i="1"/>
  <c r="C7" i="1"/>
  <c r="D7" i="1"/>
  <c r="E7" i="1"/>
  <c r="F7" i="1"/>
  <c r="B7" i="1"/>
  <c r="L3" i="1"/>
  <c r="K3" i="1"/>
  <c r="J3" i="1"/>
  <c r="K2" i="1"/>
  <c r="J2" i="1"/>
  <c r="E3" i="1"/>
  <c r="F3" i="1" s="1"/>
  <c r="E4" i="1"/>
  <c r="E5" i="1"/>
  <c r="E6" i="1"/>
  <c r="E2" i="1"/>
  <c r="F2" i="1"/>
  <c r="F4" i="1"/>
  <c r="F5" i="1"/>
  <c r="F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<sst xmlns="http://schemas.openxmlformats.org/spreadsheetml/2006/main" count="27" uniqueCount="27">
  <si>
    <t>ФИО Сотрудника</t>
  </si>
  <si>
    <t>Оклад (руб)</t>
  </si>
  <si>
    <t>К выдаче</t>
  </si>
  <si>
    <t>НДФЛ (13%)</t>
  </si>
  <si>
    <t>Премия (руб.)</t>
  </si>
  <si>
    <t>Премия (%)</t>
  </si>
  <si>
    <t>Иванов И.И.</t>
  </si>
  <si>
    <t>Петров П.П.</t>
  </si>
  <si>
    <t>Сидоров С.С.</t>
  </si>
  <si>
    <t>Кузнецова К.К.</t>
  </si>
  <si>
    <t>Смирнов С.С.</t>
  </si>
  <si>
    <t>№ п/п</t>
  </si>
  <si>
    <t>Ставка НДФЛ</t>
  </si>
  <si>
    <t>Коэффицент</t>
  </si>
  <si>
    <t>ИТОГО:</t>
  </si>
  <si>
    <t xml:space="preserve">Средняя зарплата: </t>
  </si>
  <si>
    <t>Цена за ед.</t>
  </si>
  <si>
    <t>Количество</t>
  </si>
  <si>
    <t>Товар</t>
  </si>
  <si>
    <t>Скидка (%)</t>
  </si>
  <si>
    <t>Стоимость</t>
  </si>
  <si>
    <t>Итого со скидкой</t>
  </si>
  <si>
    <t>Ноутбук</t>
  </si>
  <si>
    <t>Монитор</t>
  </si>
  <si>
    <t>Клавиатура</t>
  </si>
  <si>
    <t>Мышь</t>
  </si>
  <si>
    <t>Цена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</si>
</sst>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₽&quot;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center"/>
    </xf>
    <xf numFmtId="168" fontId="3" fillId="3" borderId="0" xfId="0" applyNumberFormat="1" applyFont="1" applyFill="1" applyAlignment="1">
      <alignment horizontal="center"/>
    </xf>
    <xf numFmtId="168" fontId="0" fillId="0" borderId="0" xfId="0" applyNumberFormat="1"/>
    <xf numFmtId="168" fontId="3" fillId="3" borderId="0" xfId="1" applyNumberFormat="1" applyFont="1" applyFill="1" applyAlignment="1">
      <alignment horizontal="center"/>
    </xf>
    <xf numFmtId="168" fontId="0" fillId="0" borderId="0" xfId="1" applyNumberFormat="1" applyFont="1"/>
    <xf numFmtId="9" fontId="0" fillId="0" borderId="0" xfId="0" applyNumberFormat="1"/>
    <xf numFmtId="9" fontId="0" fillId="2" borderId="0" xfId="0" applyNumberFormat="1" applyFill="1"/>
    <xf numFmtId="0" fontId="0" fillId="0" borderId="0" xfId="0" applyAlignment="1">
      <alignment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EA72-568C-4232-9392-440284FF69A9}">
  <dimension ref="A1:L11"/>
  <sheetViews>
    <sheetView workbookViewId="0">
      <selection activeCell="B12" sqref="B12"/>
    </sheetView>
  </sheetViews>
  <sheetFormatPr defaultRowHeight="14.4" x14ac:dyDescent="0.3"/>
  <cols>
    <col min="1" max="1" width="16.6640625" customWidth="1"/>
    <col min="2" max="2" width="11.44140625" style="4" customWidth="1"/>
    <col min="3" max="3" width="10.88671875" style="6" customWidth="1"/>
    <col min="4" max="4" width="12.5546875" style="4" customWidth="1"/>
    <col min="5" max="5" width="11.109375" style="4" customWidth="1"/>
    <col min="6" max="6" width="11.6640625" style="4" customWidth="1"/>
    <col min="8" max="8" width="13.33203125" customWidth="1"/>
    <col min="9" max="9" width="12.5546875" customWidth="1"/>
    <col min="10" max="10" width="10.21875" bestFit="1" customWidth="1"/>
  </cols>
  <sheetData>
    <row r="1" spans="1:12" x14ac:dyDescent="0.3">
      <c r="A1" s="2" t="s">
        <v>0</v>
      </c>
      <c r="B1" s="3" t="s">
        <v>1</v>
      </c>
      <c r="C1" s="5" t="s">
        <v>5</v>
      </c>
      <c r="D1" s="3" t="s">
        <v>4</v>
      </c>
      <c r="E1" s="3" t="s">
        <v>3</v>
      </c>
      <c r="F1" s="3" t="s">
        <v>2</v>
      </c>
      <c r="G1" s="3" t="s">
        <v>11</v>
      </c>
      <c r="H1" s="3" t="s">
        <v>12</v>
      </c>
      <c r="I1" s="3" t="s">
        <v>13</v>
      </c>
    </row>
    <row r="2" spans="1:12" x14ac:dyDescent="0.3">
      <c r="A2" t="s">
        <v>6</v>
      </c>
      <c r="B2" s="4">
        <v>50000</v>
      </c>
      <c r="C2" s="6">
        <v>20</v>
      </c>
      <c r="D2" s="4">
        <f>B2*C2/100</f>
        <v>10000</v>
      </c>
      <c r="E2" s="4">
        <f>(B2+D2)*$H$2</f>
        <v>7800</v>
      </c>
      <c r="F2" s="4">
        <f>B2+D2-E2</f>
        <v>52200</v>
      </c>
      <c r="G2">
        <v>1</v>
      </c>
      <c r="H2" s="8">
        <v>0.13</v>
      </c>
      <c r="I2">
        <v>1.5</v>
      </c>
      <c r="J2" s="4">
        <f>B2*$I$2</f>
        <v>75000</v>
      </c>
      <c r="K2">
        <f>B2*$I$2</f>
        <v>75000</v>
      </c>
    </row>
    <row r="3" spans="1:12" x14ac:dyDescent="0.3">
      <c r="A3" t="s">
        <v>7</v>
      </c>
      <c r="B3" s="4">
        <v>45000</v>
      </c>
      <c r="C3" s="6">
        <v>15</v>
      </c>
      <c r="D3" s="4">
        <f t="shared" ref="D3:D6" si="0">B3*C3/100</f>
        <v>6750</v>
      </c>
      <c r="E3" s="4">
        <f t="shared" ref="E3:E6" si="1">(B3+D3)*$H$2</f>
        <v>6727.5</v>
      </c>
      <c r="F3" s="4">
        <f t="shared" ref="F3:F6" si="2">B3+D3-E3</f>
        <v>45022.5</v>
      </c>
      <c r="G3">
        <v>2</v>
      </c>
      <c r="J3" s="4">
        <f>B2*I$2</f>
        <v>75000</v>
      </c>
      <c r="K3" s="4">
        <f>C2*J$2</f>
        <v>1500000</v>
      </c>
      <c r="L3" s="4">
        <f>D2*K$2</f>
        <v>750000000</v>
      </c>
    </row>
    <row r="4" spans="1:12" x14ac:dyDescent="0.3">
      <c r="A4" t="s">
        <v>8</v>
      </c>
      <c r="B4" s="4">
        <v>60000</v>
      </c>
      <c r="C4" s="6">
        <v>25</v>
      </c>
      <c r="D4" s="4">
        <f t="shared" si="0"/>
        <v>15000</v>
      </c>
      <c r="E4" s="4">
        <f t="shared" si="1"/>
        <v>9750</v>
      </c>
      <c r="F4" s="4">
        <f t="shared" si="2"/>
        <v>65250</v>
      </c>
      <c r="G4">
        <v>3</v>
      </c>
    </row>
    <row r="5" spans="1:12" x14ac:dyDescent="0.3">
      <c r="A5" t="s">
        <v>9</v>
      </c>
      <c r="B5" s="4">
        <v>55000</v>
      </c>
      <c r="C5" s="6">
        <v>10</v>
      </c>
      <c r="D5" s="4">
        <f t="shared" si="0"/>
        <v>5500</v>
      </c>
      <c r="E5" s="4">
        <f t="shared" si="1"/>
        <v>7865</v>
      </c>
      <c r="F5" s="4">
        <f t="shared" si="2"/>
        <v>52635</v>
      </c>
      <c r="G5">
        <v>4</v>
      </c>
    </row>
    <row r="6" spans="1:12" x14ac:dyDescent="0.3">
      <c r="A6" t="s">
        <v>10</v>
      </c>
      <c r="B6" s="4">
        <v>40000</v>
      </c>
      <c r="C6" s="6">
        <v>30</v>
      </c>
      <c r="D6" s="4">
        <f t="shared" si="0"/>
        <v>12000</v>
      </c>
      <c r="E6" s="4">
        <f t="shared" si="1"/>
        <v>6760</v>
      </c>
      <c r="F6" s="4">
        <f t="shared" si="2"/>
        <v>45240</v>
      </c>
      <c r="G6">
        <v>5</v>
      </c>
    </row>
    <row r="7" spans="1:12" x14ac:dyDescent="0.3">
      <c r="A7" s="1" t="s">
        <v>14</v>
      </c>
      <c r="B7" s="4">
        <f>SUM(B2:B6)</f>
        <v>250000</v>
      </c>
      <c r="C7" s="4">
        <f t="shared" ref="C7:F7" si="3">SUM(C2:C6)</f>
        <v>100</v>
      </c>
      <c r="D7" s="4">
        <f t="shared" si="3"/>
        <v>49250</v>
      </c>
      <c r="E7" s="4">
        <f t="shared" si="3"/>
        <v>38902.5</v>
      </c>
      <c r="F7" s="4">
        <f t="shared" si="3"/>
        <v>260347.5</v>
      </c>
    </row>
    <row r="9" spans="1:12" x14ac:dyDescent="0.3">
      <c r="A9" t="s">
        <v>15</v>
      </c>
      <c r="B9" s="4">
        <f>AVERAGE(F2:F6)</f>
        <v>52069.5</v>
      </c>
    </row>
    <row r="10" spans="1:12" x14ac:dyDescent="0.3">
      <c r="B10" s="4">
        <f>MAX(F2:F6)</f>
        <v>65250</v>
      </c>
    </row>
    <row r="11" spans="1:12" x14ac:dyDescent="0.3">
      <c r="B11" s="4">
        <f>MIN(F2:F6)</f>
        <v>45022.5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BA53-C33F-4A6C-B984-0AC94D08ED21}">
  <dimension ref="A1:H7"/>
  <sheetViews>
    <sheetView tabSelected="1" workbookViewId="0">
      <selection activeCell="F8" sqref="F8"/>
    </sheetView>
  </sheetViews>
  <sheetFormatPr defaultRowHeight="14.4" x14ac:dyDescent="0.3"/>
  <cols>
    <col min="1" max="1" width="10.6640625" customWidth="1"/>
    <col min="2" max="2" width="10.21875" customWidth="1"/>
    <col min="3" max="3" width="10.44140625" customWidth="1"/>
    <col min="4" max="4" width="10" customWidth="1"/>
    <col min="5" max="5" width="10.21875" customWidth="1"/>
    <col min="6" max="6" width="15.33203125" customWidth="1"/>
    <col min="8" max="8" width="10.88671875" customWidth="1"/>
  </cols>
  <sheetData>
    <row r="1" spans="1:8" ht="28.8" customHeight="1" x14ac:dyDescent="0.3">
      <c r="A1" s="9" t="s">
        <v>18</v>
      </c>
      <c r="B1" s="9" t="s">
        <v>16</v>
      </c>
      <c r="C1" s="9" t="s">
        <v>17</v>
      </c>
      <c r="D1" s="9" t="s">
        <v>19</v>
      </c>
      <c r="E1" s="9" t="s">
        <v>20</v>
      </c>
      <c r="F1" s="9" t="s">
        <v>21</v>
      </c>
      <c r="H1" s="9" t="s">
        <v>26</v>
      </c>
    </row>
    <row r="2" spans="1:8" x14ac:dyDescent="0.3">
      <c r="A2" t="s">
        <v>22</v>
      </c>
      <c r="B2">
        <v>45000</v>
      </c>
      <c r="C2">
        <v>5</v>
      </c>
      <c r="D2">
        <v>5</v>
      </c>
      <c r="E2">
        <f>B2*C2</f>
        <v>225000</v>
      </c>
      <c r="F2">
        <f>(E2*(1-C2/100))</f>
        <v>213750</v>
      </c>
      <c r="G2" s="7">
        <v>0.2</v>
      </c>
      <c r="H2">
        <f>F2*(1+$G$2)</f>
        <v>256500</v>
      </c>
    </row>
    <row r="3" spans="1:8" x14ac:dyDescent="0.3">
      <c r="A3" t="s">
        <v>23</v>
      </c>
      <c r="B3">
        <v>18000</v>
      </c>
      <c r="C3">
        <v>10</v>
      </c>
      <c r="D3">
        <v>3</v>
      </c>
      <c r="E3">
        <f t="shared" ref="E3:E5" si="0">B3*C3</f>
        <v>180000</v>
      </c>
      <c r="F3">
        <f t="shared" ref="F3:F5" si="1">E3*(1-C3/100)</f>
        <v>162000</v>
      </c>
      <c r="H3">
        <f t="shared" ref="H3:H5" si="2">F3*(1+$G$2)</f>
        <v>194400</v>
      </c>
    </row>
    <row r="4" spans="1:8" x14ac:dyDescent="0.3">
      <c r="A4" t="s">
        <v>24</v>
      </c>
      <c r="B4">
        <v>1500</v>
      </c>
      <c r="C4">
        <v>25</v>
      </c>
      <c r="D4">
        <v>10</v>
      </c>
      <c r="E4">
        <f t="shared" si="0"/>
        <v>37500</v>
      </c>
      <c r="F4">
        <f>E4*(1-C4/100)</f>
        <v>28125</v>
      </c>
      <c r="H4">
        <f t="shared" si="2"/>
        <v>33750</v>
      </c>
    </row>
    <row r="5" spans="1:8" x14ac:dyDescent="0.3">
      <c r="A5" t="s">
        <v>25</v>
      </c>
      <c r="B5">
        <v>800</v>
      </c>
      <c r="C5">
        <v>30</v>
      </c>
      <c r="D5">
        <v>7</v>
      </c>
      <c r="E5">
        <f t="shared" si="0"/>
        <v>24000</v>
      </c>
      <c r="F5">
        <f t="shared" si="1"/>
        <v>16800</v>
      </c>
      <c r="H5">
        <f t="shared" si="2"/>
        <v>20160</v>
      </c>
    </row>
    <row r="7" spans="1:8" x14ac:dyDescent="0.3">
      <c r="F7">
        <f>SUM(F2:F5)</f>
        <v>420675</v>
      </c>
      <c r="H7">
        <f>SUM(H2:H5)</f>
        <v>504810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UnF</dc:creator>
  <cp:lastModifiedBy>SP UnF</cp:lastModifiedBy>
  <dcterms:created xsi:type="dcterms:W3CDTF">2026-09-23T06:38:17Z</dcterms:created>
  <dcterms:modified xsi:type="dcterms:W3CDTF">2026-09-23T07:28:31Z</dcterms:modified>
</cp:coreProperties>
</file>